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Desktop\C\Microcontroller\"/>
    </mc:Choice>
  </mc:AlternateContent>
  <xr:revisionPtr revIDLastSave="0" documentId="13_ncr:1_{063BDF06-7930-4A4D-A6CF-E6ACEE948131}" xr6:coauthVersionLast="47" xr6:coauthVersionMax="47" xr10:uidLastSave="{00000000-0000-0000-0000-000000000000}"/>
  <bookViews>
    <workbookView xWindow="-120" yWindow="-120" windowWidth="20730" windowHeight="11160" xr2:uid="{860AFA5A-F7F4-4730-BA85-0749B49F3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" i="1" l="1"/>
  <c r="G3" i="1"/>
  <c r="I3" i="1" s="1"/>
  <c r="L3" i="1" s="1"/>
  <c r="M3" i="1" s="1"/>
  <c r="G4" i="1"/>
  <c r="K4" i="1" s="1"/>
  <c r="G5" i="1"/>
  <c r="I5" i="1" s="1"/>
  <c r="L5" i="1" s="1"/>
  <c r="M5" i="1" s="1"/>
  <c r="G6" i="1"/>
  <c r="I6" i="1" s="1"/>
  <c r="L6" i="1" s="1"/>
  <c r="M6" i="1" s="1"/>
  <c r="G7" i="1"/>
  <c r="I7" i="1" s="1"/>
  <c r="L7" i="1" s="1"/>
  <c r="M7" i="1" s="1"/>
  <c r="G8" i="1"/>
  <c r="K8" i="1" s="1"/>
  <c r="G9" i="1"/>
  <c r="I9" i="1" s="1"/>
  <c r="L9" i="1" s="1"/>
  <c r="M9" i="1" s="1"/>
  <c r="G10" i="1"/>
  <c r="I10" i="1" s="1"/>
  <c r="L10" i="1" s="1"/>
  <c r="G11" i="1"/>
  <c r="I11" i="1" s="1"/>
  <c r="L11" i="1" s="1"/>
  <c r="M11" i="1" s="1"/>
  <c r="G12" i="1"/>
  <c r="I12" i="1" s="1"/>
  <c r="L12" i="1" s="1"/>
  <c r="M12" i="1" s="1"/>
  <c r="G2" i="1"/>
  <c r="I2" i="1" s="1"/>
  <c r="L2" i="1" s="1"/>
  <c r="M2" i="1" s="1"/>
  <c r="I8" i="1" l="1"/>
  <c r="L8" i="1" s="1"/>
  <c r="M8" i="1" s="1"/>
  <c r="K7" i="1"/>
  <c r="I4" i="1"/>
  <c r="L4" i="1" s="1"/>
  <c r="M4" i="1" s="1"/>
  <c r="K12" i="1"/>
  <c r="K11" i="1"/>
  <c r="K3" i="1"/>
  <c r="M10" i="1"/>
  <c r="M13" i="1" s="1"/>
  <c r="C12" i="1" s="1"/>
  <c r="L13" i="1"/>
  <c r="C13" i="1" s="1"/>
  <c r="K10" i="1"/>
  <c r="K6" i="1"/>
  <c r="K2" i="1"/>
  <c r="K9" i="1"/>
  <c r="K5" i="1"/>
  <c r="C11" i="1" l="1"/>
</calcChain>
</file>

<file path=xl/sharedStrings.xml><?xml version="1.0" encoding="utf-8"?>
<sst xmlns="http://schemas.openxmlformats.org/spreadsheetml/2006/main" count="14" uniqueCount="14">
  <si>
    <t>clock</t>
  </si>
  <si>
    <t>register size</t>
  </si>
  <si>
    <t>time to overfloww</t>
  </si>
  <si>
    <t>time wanted</t>
  </si>
  <si>
    <t>numberof ticks</t>
  </si>
  <si>
    <t>number of OV</t>
  </si>
  <si>
    <t>last cycle adjust</t>
  </si>
  <si>
    <t>time to increment</t>
  </si>
  <si>
    <t>prescaler</t>
  </si>
  <si>
    <t>counter =0;</t>
  </si>
  <si>
    <t>selected prescaler?</t>
  </si>
  <si>
    <t>Timer rgister</t>
  </si>
  <si>
    <t>TCNT0</t>
  </si>
  <si>
    <t>Output template interrupt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</si>
</sst>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1" fillId="3" borderId="0" xfId="0" applyFont="1" applyFill="1"/>
    <xf numFmtId="0" fontId="0" fillId="2" borderId="0" xfId="0" applyFill="1"/>
    <xf numFmtId="0" fontId="0" fillId="4" borderId="0" xfId="0" applyFill="1"/>
    <xf numFmtId="0" fontId="0" fillId="5" borderId="1" xfId="0" applyFont="1" applyFill="1" applyBorder="1"/>
    <xf numFmtId="0" fontId="0" fillId="5" borderId="2" xfId="0" applyFont="1" applyFill="1" applyBorder="1"/>
    <xf numFmtId="0" fontId="0" fillId="0" borderId="0" xfId="0" applyAlignment="1">
      <alignment horizontal="center"/>
    </xf>
    <xf numFmtId="0" fontId="0" fillId="5" borderId="3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F80E-0287-48E6-A218-DF99833BBBCD}">
  <dimension ref="A1:M15"/>
  <sheetViews>
    <sheetView tabSelected="1" workbookViewId="0">
      <selection activeCell="O6" sqref="O6"/>
    </sheetView>
  </sheetViews>
  <sheetFormatPr defaultRowHeight="15" x14ac:dyDescent="0.25"/>
  <cols>
    <col min="3" max="3" width="14.7109375" style="10" bestFit="1" customWidth="1"/>
    <col min="7" max="7" width="12" bestFit="1" customWidth="1"/>
    <col min="9" max="9" width="12" bestFit="1" customWidth="1"/>
    <col min="11" max="11" width="10.7109375" customWidth="1"/>
    <col min="16" max="16" width="9.140625" customWidth="1"/>
  </cols>
  <sheetData>
    <row r="1" spans="1:13" x14ac:dyDescent="0.25">
      <c r="A1" t="s">
        <v>10</v>
      </c>
      <c r="B1" s="4">
        <v>256</v>
      </c>
      <c r="E1" t="s">
        <v>0</v>
      </c>
      <c r="F1" t="s">
        <v>8</v>
      </c>
      <c r="G1" t="s">
        <v>7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25">
      <c r="A2" t="s">
        <v>11</v>
      </c>
      <c r="B2" s="4" t="s">
        <v>12</v>
      </c>
      <c r="E2" s="2">
        <v>8000000</v>
      </c>
      <c r="F2">
        <v>1</v>
      </c>
      <c r="G2" s="1">
        <f>F2/E$2</f>
        <v>1.2499999999999999E-7</v>
      </c>
      <c r="H2" s="2">
        <v>255</v>
      </c>
      <c r="I2" s="1">
        <f>G2*H$2</f>
        <v>3.1874999999999996E-5</v>
      </c>
      <c r="J2" s="2">
        <v>0.35799999999999998</v>
      </c>
      <c r="K2">
        <f>J$2/G2</f>
        <v>2864000</v>
      </c>
      <c r="L2">
        <f t="shared" ref="L2:L12" si="0">QUOTIENT(J$2,I2)</f>
        <v>11231</v>
      </c>
      <c r="M2">
        <f>H$2-((J$2-L2*I2)/G2)</f>
        <v>159.99999999959968</v>
      </c>
    </row>
    <row r="3" spans="1:13" x14ac:dyDescent="0.25">
      <c r="E3" s="2"/>
      <c r="F3">
        <v>2</v>
      </c>
      <c r="G3" s="1">
        <f t="shared" ref="G3:G12" si="1">F3/E$2</f>
        <v>2.4999999999999999E-7</v>
      </c>
      <c r="H3" s="2"/>
      <c r="I3" s="1">
        <f t="shared" ref="I3:I12" si="2">G3*H$2</f>
        <v>6.3749999999999991E-5</v>
      </c>
      <c r="J3" s="2"/>
      <c r="K3">
        <f t="shared" ref="K3:K12" si="3">J$2/G3</f>
        <v>1432000</v>
      </c>
      <c r="L3">
        <f>QUOTIENT(J$2,I3)</f>
        <v>5615</v>
      </c>
      <c r="M3">
        <f t="shared" ref="M3:M12" si="4">H$2-((J$2-L3*I3)/G3)</f>
        <v>79.999999999963762</v>
      </c>
    </row>
    <row r="4" spans="1:13" x14ac:dyDescent="0.25">
      <c r="E4" s="2"/>
      <c r="F4">
        <v>4</v>
      </c>
      <c r="G4" s="1">
        <f t="shared" si="1"/>
        <v>4.9999999999999998E-7</v>
      </c>
      <c r="H4" s="2"/>
      <c r="I4" s="1">
        <f t="shared" si="2"/>
        <v>1.2749999999999998E-4</v>
      </c>
      <c r="J4" s="2"/>
      <c r="K4">
        <f t="shared" si="3"/>
        <v>716000</v>
      </c>
      <c r="L4">
        <f t="shared" si="0"/>
        <v>2807</v>
      </c>
      <c r="M4">
        <f t="shared" si="4"/>
        <v>39.999999999923745</v>
      </c>
    </row>
    <row r="5" spans="1:13" x14ac:dyDescent="0.25">
      <c r="E5" s="2"/>
      <c r="F5">
        <v>8</v>
      </c>
      <c r="G5" s="1">
        <f t="shared" si="1"/>
        <v>9.9999999999999995E-7</v>
      </c>
      <c r="H5" s="2"/>
      <c r="I5" s="1">
        <f t="shared" si="2"/>
        <v>2.5499999999999996E-4</v>
      </c>
      <c r="J5" s="2"/>
      <c r="K5">
        <f t="shared" si="3"/>
        <v>358000</v>
      </c>
      <c r="L5">
        <f t="shared" si="0"/>
        <v>1403</v>
      </c>
      <c r="M5">
        <f t="shared" si="4"/>
        <v>19.999999999959272</v>
      </c>
    </row>
    <row r="6" spans="1:13" x14ac:dyDescent="0.25">
      <c r="E6" s="2"/>
      <c r="F6">
        <v>16</v>
      </c>
      <c r="G6" s="1">
        <f t="shared" si="1"/>
        <v>1.9999999999999999E-6</v>
      </c>
      <c r="H6" s="2"/>
      <c r="I6" s="1">
        <f t="shared" si="2"/>
        <v>5.0999999999999993E-4</v>
      </c>
      <c r="J6" s="2"/>
      <c r="K6">
        <f t="shared" si="3"/>
        <v>179000</v>
      </c>
      <c r="L6">
        <f t="shared" si="0"/>
        <v>701</v>
      </c>
      <c r="M6">
        <f t="shared" si="4"/>
        <v>9.9999999999770068</v>
      </c>
    </row>
    <row r="7" spans="1:13" x14ac:dyDescent="0.25">
      <c r="E7" s="2"/>
      <c r="F7">
        <v>32</v>
      </c>
      <c r="G7" s="1">
        <f t="shared" si="1"/>
        <v>3.9999999999999998E-6</v>
      </c>
      <c r="H7" s="2"/>
      <c r="I7" s="1">
        <f t="shared" si="2"/>
        <v>1.0199999999999999E-3</v>
      </c>
      <c r="J7" s="2"/>
      <c r="K7">
        <f t="shared" si="3"/>
        <v>89500</v>
      </c>
      <c r="L7">
        <f t="shared" si="0"/>
        <v>350</v>
      </c>
      <c r="M7">
        <f t="shared" si="4"/>
        <v>4.9999999999859028</v>
      </c>
    </row>
    <row r="8" spans="1:13" x14ac:dyDescent="0.25">
      <c r="B8" s="8" t="s">
        <v>13</v>
      </c>
      <c r="C8" s="8"/>
      <c r="D8" s="8"/>
      <c r="E8" s="2"/>
      <c r="F8">
        <v>64</v>
      </c>
      <c r="G8" s="1">
        <f t="shared" si="1"/>
        <v>7.9999999999999996E-6</v>
      </c>
      <c r="H8" s="2"/>
      <c r="I8" s="1">
        <f t="shared" si="2"/>
        <v>2.0399999999999997E-3</v>
      </c>
      <c r="J8" s="2"/>
      <c r="K8">
        <f t="shared" si="3"/>
        <v>44750</v>
      </c>
      <c r="L8">
        <f t="shared" si="0"/>
        <v>175</v>
      </c>
      <c r="M8">
        <f t="shared" si="4"/>
        <v>129.99999999999295</v>
      </c>
    </row>
    <row r="9" spans="1:13" ht="15.75" thickBot="1" x14ac:dyDescent="0.3">
      <c r="B9" s="5"/>
      <c r="C9" s="5"/>
      <c r="D9" s="5"/>
      <c r="E9" s="2"/>
      <c r="F9">
        <v>128</v>
      </c>
      <c r="G9" s="1">
        <f t="shared" si="1"/>
        <v>1.5999999999999999E-5</v>
      </c>
      <c r="H9" s="2"/>
      <c r="I9" s="1">
        <f t="shared" si="2"/>
        <v>4.0799999999999994E-3</v>
      </c>
      <c r="J9" s="2"/>
      <c r="K9">
        <f t="shared" si="3"/>
        <v>22375</v>
      </c>
      <c r="L9">
        <f t="shared" si="0"/>
        <v>87</v>
      </c>
      <c r="M9">
        <f t="shared" si="4"/>
        <v>64.999999999997328</v>
      </c>
    </row>
    <row r="10" spans="1:13" x14ac:dyDescent="0.25">
      <c r="B10" s="5"/>
      <c r="C10" s="6" t="s">
        <v>9</v>
      </c>
      <c r="D10" s="5"/>
      <c r="E10" s="2"/>
      <c r="F10">
        <v>256</v>
      </c>
      <c r="G10" s="1">
        <f t="shared" si="1"/>
        <v>3.1999999999999999E-5</v>
      </c>
      <c r="H10" s="2"/>
      <c r="I10" s="1">
        <f t="shared" si="2"/>
        <v>8.1599999999999989E-3</v>
      </c>
      <c r="J10" s="2"/>
      <c r="K10">
        <f t="shared" si="3"/>
        <v>11187.5</v>
      </c>
      <c r="L10">
        <f t="shared" si="0"/>
        <v>43</v>
      </c>
      <c r="M10">
        <f t="shared" si="4"/>
        <v>32.499999999999517</v>
      </c>
    </row>
    <row r="11" spans="1:13" x14ac:dyDescent="0.25">
      <c r="B11" s="5"/>
      <c r="C11" s="7" t="str">
        <f>_xlfn.CONCAT("if(counter==",L13,")")</f>
        <v>if(counter==43)</v>
      </c>
      <c r="D11" s="5"/>
      <c r="E11" s="2"/>
      <c r="F11">
        <v>512</v>
      </c>
      <c r="G11" s="1">
        <f t="shared" si="1"/>
        <v>6.3999999999999997E-5</v>
      </c>
      <c r="H11" s="2"/>
      <c r="I11" s="1">
        <f t="shared" si="2"/>
        <v>1.6319999999999998E-2</v>
      </c>
      <c r="J11" s="2"/>
      <c r="K11">
        <f t="shared" si="3"/>
        <v>5593.75</v>
      </c>
      <c r="L11">
        <f t="shared" si="0"/>
        <v>21</v>
      </c>
      <c r="M11">
        <f t="shared" si="4"/>
        <v>16.249999999999744</v>
      </c>
    </row>
    <row r="12" spans="1:13" x14ac:dyDescent="0.25">
      <c r="B12" s="5"/>
      <c r="C12" s="7" t="str">
        <f>_xlfn.CONCAT(B2,"=",ROUND(M13,0),";")</f>
        <v>TCNT0=32;</v>
      </c>
      <c r="D12" s="5"/>
      <c r="E12" s="2"/>
      <c r="F12">
        <v>1024</v>
      </c>
      <c r="G12" s="1">
        <f t="shared" si="1"/>
        <v>1.2799999999999999E-4</v>
      </c>
      <c r="H12" s="2"/>
      <c r="I12" s="1">
        <f t="shared" si="2"/>
        <v>3.2639999999999995E-2</v>
      </c>
      <c r="J12" s="2"/>
      <c r="K12">
        <f t="shared" si="3"/>
        <v>2796.875</v>
      </c>
      <c r="L12">
        <f t="shared" si="0"/>
        <v>10</v>
      </c>
      <c r="M12">
        <f t="shared" si="4"/>
        <v>8.1249999999998579</v>
      </c>
    </row>
    <row r="13" spans="1:13" x14ac:dyDescent="0.25">
      <c r="B13" s="5"/>
      <c r="C13" s="7" t="str">
        <f>_xlfn.CONCAT("if(counter&gt;",L13,")","{")</f>
        <v>if(counter&gt;43){</v>
      </c>
      <c r="D13" s="5"/>
      <c r="L13" s="3">
        <f>CHOOSE(LOG($B$1,2)+1,L2,L3,L4,L5,L6,L7,L8,L9,L10,L11,L12)</f>
        <v>43</v>
      </c>
      <c r="M13" s="3">
        <f>CHOOSE(LOG($B$1,2)+1,M2,M3,M4,M5,M6,M7,M8,M9,M10,M11,M12)</f>
        <v>32.499999999999517</v>
      </c>
    </row>
    <row r="14" spans="1:13" ht="60.75" thickBot="1" x14ac:dyDescent="0.3">
      <c r="B14" s="5"/>
      <c r="C14" s="9" t="str">
        <f>_xlfn.CONCAT(C10,CHAR(10),"//code to be executed",CHAR(10),"}")</f>
        <v>counter =0;
//code to be executed
}</v>
      </c>
      <c r="D14" s="5"/>
    </row>
    <row r="15" spans="1:13" x14ac:dyDescent="0.25">
      <c r="B15" s="5"/>
      <c r="C15" s="5"/>
      <c r="D15" s="5"/>
    </row>
  </sheetData>
  <mergeCells count="4">
    <mergeCell ref="E2:E12"/>
    <mergeCell ref="H2:H12"/>
    <mergeCell ref="J2:J12"/>
    <mergeCell ref="B8:D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</dc:creator>
  <cp:lastModifiedBy>almei</cp:lastModifiedBy>
  <dcterms:created xsi:type="dcterms:W3CDTF">2022-04-20T17:28:54Z</dcterms:created>
  <dcterms:modified xsi:type="dcterms:W3CDTF">2022-04-22T00:17:58Z</dcterms:modified>
</cp:coreProperties>
</file>